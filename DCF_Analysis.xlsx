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workbookPr/>
  <workbookProtection/>
  <bookViews>
    <workbookView visibility="visible" showHorizontalScroll="true" showVerticalScroll="true" showSheetTabs="true" tabRatio="600" autoFilterDateGrouping="true"/>
  </bookViews>
  <sheets>
    <sheet name="Sheet" sheetId="1" r:id="rId1" state="visible"/>
    <sheet name="가정" sheetId="2" r:id="rId4"/>
    <sheet name="DCF모델" sheetId="3" r:id="rId6"/>
    <sheet name="민감도분석" sheetId="4" r:id="rId7"/>
  </sheets>
  <definedNames/>
  <calcPr calcId="124519" fullCalcOnLoad="true"/>
</workbook>
</file>

<file path=xl/sharedStrings.xml><?xml version="1.0" encoding="utf-8"?>
<sst xmlns="http://schemas.openxmlformats.org/spreadsheetml/2006/main" count="59" uniqueCount="59">
  <si>
    <t>DCF 분석 주요 가정</t>
  </si>
  <si>
    <t>[ 매출 가정 ]</t>
  </si>
  <si>
    <t>기준연도 매출액(억원)</t>
  </si>
  <si>
    <t>1차년도 성장률</t>
  </si>
  <si>
    <t>2차년도 성장률</t>
  </si>
  <si>
    <t>3차년도 성장률</t>
  </si>
  <si>
    <t>4차년도 성장률</t>
  </si>
  <si>
    <t>5차년도 성장률</t>
  </si>
  <si>
    <t>[ 비용 가정 ]</t>
  </si>
  <si>
    <t>EBITDA 마진</t>
  </si>
  <si>
    <t>감가상각비/매출 비율</t>
  </si>
  <si>
    <t>CAPEX/매출 비율</t>
  </si>
  <si>
    <t>순운전자본 증감/매출 비율</t>
  </si>
  <si>
    <t>법인세율</t>
  </si>
  <si>
    <t>[ 할인율 가정 ]</t>
  </si>
  <si>
    <t>WACC (가중평균자본비용)</t>
  </si>
  <si>
    <t>영구성장률</t>
  </si>
  <si>
    <t>[ 기타 ]</t>
  </si>
  <si>
    <t>순차입금(억원)</t>
  </si>
  <si>
    <t>발행주식수(만주)</t>
  </si>
  <si>
    <t>DCF 기업가치 분석 모델</t>
  </si>
  <si>
    <t>(단위: 억원)</t>
  </si>
  <si>
    <t>기준년도</t>
  </si>
  <si>
    <t>1차년도</t>
  </si>
  <si>
    <t>2차년도</t>
  </si>
  <si>
    <t>3차년도</t>
  </si>
  <si>
    <t>4차년도</t>
  </si>
  <si>
    <t>5차년도</t>
  </si>
  <si>
    <t>[ 매출 및 손익 추정 ]</t>
  </si>
  <si>
    <t>매출액</t>
  </si>
  <si>
    <t>매출성장률</t>
  </si>
  <si>
    <t>-</t>
  </si>
  <si>
    <t>EBITDA</t>
  </si>
  <si>
    <t>감가상각비(D&amp;A)</t>
  </si>
  <si>
    <t>EBIT (영업이익)</t>
  </si>
  <si>
    <t>법인세</t>
  </si>
  <si>
    <t>NOPAT</t>
  </si>
  <si>
    <t>[ 잎여현금흐름(FCF) 산출 ]</t>
  </si>
  <si>
    <t>(+) 감가상각비</t>
  </si>
  <si>
    <t>(-) CAPEX</t>
  </si>
  <si>
    <t>(-) 순운전자본 증감</t>
  </si>
  <si>
    <t>잎여현금흐름(FCF)</t>
  </si>
  <si>
    <t>[ 현재가치 및 기업가치 ]</t>
  </si>
  <si>
    <t>WACC</t>
  </si>
  <si>
    <t>할인계수</t>
  </si>
  <si>
    <t>FCF 현재가치</t>
  </si>
  <si>
    <t>터미널밸류(TV)</t>
  </si>
  <si>
    <t>TV 현재가치</t>
  </si>
  <si>
    <t>FCF 현재가치 합계</t>
  </si>
  <si>
    <t>기업가치(EV)</t>
  </si>
  <si>
    <t>[ 주주가치 산출 ]</t>
  </si>
  <si>
    <t>(-) 순차입금</t>
  </si>
  <si>
    <t>주주가치(Equity Value)</t>
  </si>
  <si>
    <t>주당 적정가치(원)</t>
  </si>
  <si>
    <t>[ 잉여현금흐름(FCF) 산출 ]</t>
  </si>
  <si>
    <t>잉여현금흐름(FCF)</t>
  </si>
  <si>
    <t>DCF 민감도 분석</t>
  </si>
  <si>
    <t>(주당 적정가치, 단위: 원)</t>
  </si>
  <si>
    <t>WACC \\ 성장률</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</si>
</sst>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3">
    <numFmt numFmtId="164" formatCode="0%"/>
    <numFmt numFmtId="165" formatCode="#,##0"/>
    <numFmt numFmtId="166" formatCode="0.0000"/>
  </numFmts>
  <fonts count="7">
    <font>
      <name val="Calibri"/>
      <family val="2"/>
      <color theme="1"/>
      <sz val="11"/>
      <scheme val="minor"/>
    </font>
    <font>
      <family val="2"/>
      <b val="1"/>
      <color rgb="FF1F4E79"/>
      <sz val="14"/>
    </font>
    <font>
      <family val="2"/>
      <b val="1"/>
      <color rgb="FFFFFFFF"/>
    </font>
    <font>
      <family val="2"/>
      <b val="1"/>
      <color/>
    </font>
    <font>
      <family val="2"/>
      <b val="1"/>
      <color/>
      <sz val="11"/>
    </font>
    <font>
      <family val="2"/>
      <b val="1"/>
      <color rgb="FFC00000"/>
      <sz val="12"/>
    </font>
    <font>
      <family val="2"/>
      <b val="1"/>
      <color rgb="FFC00000"/>
    </font>
  </fonts>
  <fills count="6">
    <fill>
      <patternFill/>
    </fill>
    <fill>
      <patternFill patternType="gray125"/>
    </fill>
    <fill>
      <patternFill patternType="solid">
        <fgColor rgb="FF2E75B6"/>
      </patternFill>
    </fill>
    <fill>
      <patternFill patternType="solid">
        <fgColor rgb="FF4472C4"/>
      </patternFill>
    </fill>
    <fill>
      <patternFill patternType="solid">
        <fgColor rgb="FFD6E4F0"/>
      </patternFill>
    </fill>
    <fill>
      <patternFill patternType="solid">
        <fgColor rgb="FFFFF2CC"/>
      </patternFill>
    </fill>
  </fills>
  <borders count="2">
    <border>
      <left/>
      <right/>
      <top/>
      <bottom/>
      <diagonal/>
    </border>
    <border>
      <top style="thin">
        <color rgb="FF000000"/>
      </top>
      <bottom style="double">
        <color rgb="FF000000"/>
      </bottom>
    </border>
  </borders>
  <cellStyleXfs count="1">
    <xf numFmtId="0" fontId="0" fillId="0" borderId="0"/>
  </cellStyleXfs>
  <cellXfs count="17">
    <xf numFmtId="0" fontId="0" fillId="0" borderId="0" xfId="0" quotePrefix="false" pivotButton="false"/>
    <xf numFmtId="0" fontId="1" fillId="0" borderId="0" xfId="0" applyFont="true" applyAlignment="false">
      <alignment/>
    </xf>
    <xf numFmtId="0" fontId="2" fillId="2" borderId="0" xfId="0" applyFont="true" applyFill="true" applyAlignment="false">
      <alignment/>
    </xf>
    <xf numFmtId="164" fontId="0" fillId="0" borderId="0" xfId="0" applyNumberFormat="true" applyAlignment="false">
      <alignment/>
    </xf>
    <xf numFmtId="165" fontId="0" fillId="0" borderId="0" xfId="0" applyNumberFormat="true" applyAlignment="false">
      <alignment/>
    </xf>
    <xf numFmtId="0" fontId="2" fillId="3" borderId="0" xfId="0" applyFont="true" applyFill="true" applyAlignment="false">
      <alignment/>
    </xf>
    <xf numFmtId="0" fontId="3" fillId="0" borderId="1" xfId="0" applyFont="true" applyBorder="true" applyAlignment="false">
      <alignment/>
    </xf>
    <xf numFmtId="165" fontId="3" fillId="0" borderId="1" xfId="0" applyNumberFormat="true" applyFont="true" applyBorder="true" applyAlignment="false">
      <alignment/>
    </xf>
    <xf numFmtId="0" fontId="4" fillId="0" borderId="1" xfId="0" applyFont="true" applyBorder="true" applyAlignment="false">
      <alignment/>
    </xf>
    <xf numFmtId="165" fontId="4" fillId="0" borderId="1" xfId="0" applyNumberFormat="true" applyFont="true" applyBorder="true" applyAlignment="false">
      <alignment/>
    </xf>
    <xf numFmtId="0" fontId="5" fillId="0" borderId="1" xfId="0" applyFont="true" applyBorder="true" applyAlignment="false">
      <alignment/>
    </xf>
    <xf numFmtId="165" fontId="5" fillId="0" borderId="1" xfId="0" applyNumberFormat="true" applyFont="true" applyBorder="true" applyAlignment="false">
      <alignment/>
    </xf>
    <xf numFmtId="166" fontId="0" fillId="0" borderId="0" xfId="0" applyNumberFormat="true" applyAlignment="false">
      <alignment/>
    </xf>
    <xf numFmtId="164" fontId="2" fillId="2" borderId="0" xfId="0" applyNumberFormat="true" applyFont="true" applyFill="true" applyAlignment="false">
      <alignment/>
    </xf>
    <xf numFmtId="164" fontId="3" fillId="4" borderId="0" xfId="0" applyNumberFormat="true" applyFont="true" applyFill="true" applyAlignment="false">
      <alignment/>
    </xf>
    <xf numFmtId="165" fontId="0" fillId="5" borderId="0" xfId="0" applyNumberFormat="true" applyFill="true" applyAlignment="false">
      <alignment/>
    </xf>
    <xf numFmtId="165" fontId="6" fillId="5" borderId="0" xfId="0" applyNumberFormat="true" applyFont="true" applyFill="true" applyAlignment="false">
      <alignment/>
    </xf>
  </cellXfs>
  <cellStyles count="1">
    <cellStyle name="Normal" xfId="0" builtinId="0" hidden="false"/>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Relationship Id="rId1" Target="/xl/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dimension ref="A1:B24"/>
  <sheetViews>
    <sheetView workbookViewId="0"/>
  </sheetViews>
  <sheetData>
    <row r="1">
      <c r="A1" s="1" t="s">
        <v>0</v>
      </c>
    </row>
    <row r="2">
      <c r="A2"/>
      <c r="B2"/>
    </row>
    <row r="3">
      <c r="A3" s="2" t="s">
        <v>1</v>
      </c>
    </row>
    <row r="4">
      <c r="A4" t="s">
        <v>2</v>
      </c>
      <c r="B4" s="4">
        <v>10000</v>
      </c>
    </row>
    <row r="5">
      <c r="A5" t="s">
        <v>3</v>
      </c>
      <c r="B5" s="3">
        <v>0.15</v>
      </c>
    </row>
    <row r="6">
      <c r="A6" t="s">
        <v>4</v>
      </c>
      <c r="B6" s="3">
        <v>0.12</v>
      </c>
    </row>
    <row r="7">
      <c r="A7" t="s">
        <v>5</v>
      </c>
      <c r="B7" s="3">
        <v>0.1</v>
      </c>
    </row>
    <row r="8">
      <c r="A8" t="s">
        <v>6</v>
      </c>
      <c r="B8" s="3">
        <v>0.08</v>
      </c>
    </row>
    <row r="9">
      <c r="A9" t="s">
        <v>7</v>
      </c>
      <c r="B9" s="3">
        <v>0.06</v>
      </c>
    </row>
    <row r="10">
      <c r="A10"/>
      <c r="B10"/>
    </row>
    <row r="11">
      <c r="A11" s="2" t="s">
        <v>8</v>
      </c>
    </row>
    <row r="12">
      <c r="A12" t="s">
        <v>9</v>
      </c>
      <c r="B12" s="3">
        <v>0.2</v>
      </c>
    </row>
    <row r="13">
      <c r="A13" t="s">
        <v>10</v>
      </c>
      <c r="B13" s="3">
        <v>0.05</v>
      </c>
    </row>
    <row r="14">
      <c r="A14" t="s">
        <v>11</v>
      </c>
      <c r="B14" s="3">
        <v>0.07</v>
      </c>
    </row>
    <row r="15">
      <c r="A15" t="s">
        <v>12</v>
      </c>
      <c r="B15" s="3">
        <v>0.03</v>
      </c>
    </row>
    <row r="16">
      <c r="A16" t="s">
        <v>13</v>
      </c>
      <c r="B16" s="3">
        <v>0.24</v>
      </c>
    </row>
    <row r="17">
      <c r="A17"/>
      <c r="B17"/>
    </row>
    <row r="18">
      <c r="A18" s="2" t="s">
        <v>14</v>
      </c>
    </row>
    <row r="19">
      <c r="A19" t="s">
        <v>15</v>
      </c>
      <c r="B19" s="3">
        <v>0.1</v>
      </c>
    </row>
    <row r="20">
      <c r="A20" t="s">
        <v>16</v>
      </c>
      <c r="B20" s="3">
        <v>0.02</v>
      </c>
    </row>
    <row r="21">
      <c r="A21"/>
      <c r="B21"/>
    </row>
    <row r="22">
      <c r="A22" s="2" t="s">
        <v>17</v>
      </c>
    </row>
    <row r="23">
      <c r="A23" t="s">
        <v>18</v>
      </c>
      <c r="B23" s="4">
        <v>5000</v>
      </c>
    </row>
    <row r="24">
      <c r="A24" t="s">
        <v>19</v>
      </c>
      <c r="B24" s="4">
        <v>5000</v>
      </c>
    </row>
  </sheetData>
</worksheet>
</file>

<file path=xl/worksheets/sheet3.xml><?xml version="1.0" encoding="utf-8"?>
<worksheet xmlns="http://schemas.openxmlformats.org/spreadsheetml/2006/main">
  <dimension ref="A1:G41"/>
  <sheetViews>
    <sheetView workbookViewId="0"/>
  </sheetViews>
  <sheetData>
    <row r="1">
      <c r="A1" s="1" t="s">
        <v>20</v>
      </c>
    </row>
    <row r="2">
      <c r="A2"/>
      <c r="B2"/>
      <c r="C2"/>
      <c r="D2"/>
      <c r="E2"/>
      <c r="F2"/>
      <c r="G2"/>
    </row>
    <row r="3">
      <c r="A3" s="2" t="s">
        <v>21</v>
      </c>
      <c r="B3" s="2" t="s">
        <v>22</v>
      </c>
      <c r="C3" s="2" t="s">
        <v>23</v>
      </c>
      <c r="D3" s="2" t="s">
        <v>24</v>
      </c>
      <c r="E3" s="2" t="s">
        <v>25</v>
      </c>
      <c r="F3" s="2" t="s">
        <v>26</v>
      </c>
      <c r="G3" s="2" t="s">
        <v>27</v>
      </c>
    </row>
    <row r="4">
      <c r="B4">
        <v>2025</v>
      </c>
      <c r="C4">
        <v>2026</v>
      </c>
      <c r="D4">
        <v>2027</v>
      </c>
      <c r="E4">
        <v>2028</v>
      </c>
      <c r="F4">
        <v>2029</v>
      </c>
      <c r="G4">
        <v>2030</v>
      </c>
    </row>
    <row r="5">
      <c r="A5"/>
      <c r="B5"/>
      <c r="C5"/>
      <c r="D5"/>
      <c r="E5"/>
      <c r="F5"/>
      <c r="G5"/>
    </row>
    <row r="6">
      <c r="A6" s="5" t="s">
        <v>28</v>
      </c>
    </row>
    <row r="7">
      <c r="A7" t="s">
        <v>29</v>
      </c>
      <c r="B7" s="4" t="str">
        <f>='가정'!B4</f>
      </c>
      <c r="C7" s="4" t="str">
        <f>=B7*(1+'가정'!B5)</f>
      </c>
      <c r="D7" s="4" t="str">
        <f>=C7*(1+'가정'!B6)</f>
      </c>
      <c r="E7" s="4" t="str">
        <f>=D7*(1+'가정'!B7)</f>
      </c>
      <c r="F7" s="4" t="str">
        <f>=E7*(1+'가정'!B8)</f>
      </c>
      <c r="G7" s="4" t="str">
        <f>=F7*(1+'가정'!B9)</f>
      </c>
    </row>
    <row r="8">
      <c r="A8" t="s">
        <v>30</v>
      </c>
      <c r="B8" s="3" t="s">
        <v>31</v>
      </c>
      <c r="C8" s="3" t="str">
        <f>='가정'!B5</f>
      </c>
      <c r="D8" s="3" t="str">
        <f>='가정'!B6</f>
      </c>
      <c r="E8" s="3" t="str">
        <f>='가정'!B7</f>
      </c>
      <c r="F8" s="3" t="str">
        <f>='가정'!B8</f>
      </c>
      <c r="G8" s="3" t="str">
        <f>='가정'!B9</f>
      </c>
    </row>
    <row r="9">
      <c r="A9" t="s">
        <v>32</v>
      </c>
      <c r="B9" s="4" t="str">
        <f>=B7*'가정'!B12</f>
      </c>
      <c r="C9" s="4" t="str">
        <f>=C7*'가정'!B12</f>
      </c>
      <c r="D9" s="4" t="str">
        <f>=D7*'가정'!B12</f>
      </c>
      <c r="E9" s="4" t="str">
        <f>=E7*'가정'!B12</f>
      </c>
      <c r="F9" s="4" t="str">
        <f>=F7*'가정'!B12</f>
      </c>
      <c r="G9" s="4" t="str">
        <f>=G7*'가정'!B12</f>
      </c>
    </row>
    <row r="10">
      <c r="A10" t="s">
        <v>9</v>
      </c>
      <c r="B10" s="3" t="str">
        <f>='가정'!B12</f>
      </c>
      <c r="C10" s="3" t="str">
        <f>='가정'!B12</f>
      </c>
      <c r="D10" s="3" t="str">
        <f>='가정'!B12</f>
      </c>
      <c r="E10" s="3" t="str">
        <f>='가정'!B12</f>
      </c>
      <c r="F10" s="3" t="str">
        <f>='가정'!B12</f>
      </c>
      <c r="G10" s="3" t="str">
        <f>='가정'!B12</f>
      </c>
    </row>
    <row r="11">
      <c r="A11" t="s">
        <v>33</v>
      </c>
      <c r="B11" s="4" t="str">
        <f>=B7*'가정'!B13</f>
      </c>
      <c r="C11" s="4" t="str">
        <f>=C7*'가정'!B13</f>
      </c>
      <c r="D11" s="4" t="str">
        <f>=D7*'가정'!B13</f>
      </c>
      <c r="E11" s="4" t="str">
        <f>=E7*'가정'!B13</f>
      </c>
      <c r="F11" s="4" t="str">
        <f>=F7*'가정'!B13</f>
      </c>
      <c r="G11" s="4" t="str">
        <f>=G7*'가정'!B13</f>
      </c>
    </row>
    <row r="12">
      <c r="A12" t="s">
        <v>34</v>
      </c>
      <c r="B12" s="4" t="str">
        <f>=B9-B11</f>
      </c>
      <c r="C12" s="4" t="str">
        <f>=C9-C11</f>
      </c>
      <c r="D12" s="4" t="str">
        <f>=D9-D11</f>
      </c>
      <c r="E12" s="4" t="str">
        <f>=E9-E11</f>
      </c>
      <c r="F12" s="4" t="str">
        <f>=F9-F11</f>
      </c>
      <c r="G12" s="4" t="str">
        <f>=G9-G11</f>
      </c>
    </row>
    <row r="13">
      <c r="A13" t="s">
        <v>35</v>
      </c>
      <c r="B13" s="4" t="str">
        <f>=B12*'가정'!B16</f>
      </c>
      <c r="C13" s="4" t="str">
        <f>=C12*'가정'!B16</f>
      </c>
      <c r="D13" s="4" t="str">
        <f>=D12*'가정'!B16</f>
      </c>
      <c r="E13" s="4" t="str">
        <f>=E12*'가정'!B16</f>
      </c>
      <c r="F13" s="4" t="str">
        <f>=F12*'가정'!B16</f>
      </c>
      <c r="G13" s="4" t="str">
        <f>=G12*'가정'!B16</f>
      </c>
    </row>
    <row r="14">
      <c r="A14" s="6" t="s">
        <v>36</v>
      </c>
      <c r="B14" s="7" t="str">
        <f>=B12-B13</f>
      </c>
      <c r="C14" s="7" t="str">
        <f>=C12-C13</f>
      </c>
      <c r="D14" s="7" t="str">
        <f>=D12-D13</f>
      </c>
      <c r="E14" s="7" t="str">
        <f>=E12-E13</f>
      </c>
      <c r="F14" s="7" t="str">
        <f>=F12-F13</f>
      </c>
      <c r="G14" s="7" t="str">
        <f>=G12-G13</f>
      </c>
    </row>
    <row r="15"/>
    <row r="16">
      <c r="A16" s="5" t="s">
        <v>54</v>
      </c>
    </row>
    <row r="17">
      <c r="A17" t="s">
        <v>36</v>
      </c>
      <c r="B17" s="4" t="str">
        <f>=B14</f>
      </c>
      <c r="C17" s="4" t="str">
        <f>=C14</f>
      </c>
      <c r="D17" s="4" t="str">
        <f>=D14</f>
      </c>
      <c r="E17" s="4" t="str">
        <f>=E14</f>
      </c>
      <c r="F17" s="4" t="str">
        <f>=F14</f>
      </c>
      <c r="G17" s="4" t="str">
        <f>=G14</f>
      </c>
    </row>
    <row r="18">
      <c r="A18" t="s">
        <v>38</v>
      </c>
      <c r="B18" s="4" t="str">
        <f>=B11</f>
      </c>
      <c r="C18" s="4" t="str">
        <f>=C11</f>
      </c>
      <c r="D18" s="4" t="str">
        <f>=D11</f>
      </c>
      <c r="E18" s="4" t="str">
        <f>=E11</f>
      </c>
      <c r="F18" s="4" t="str">
        <f>=F11</f>
      </c>
      <c r="G18" s="4" t="str">
        <f>=G11</f>
      </c>
    </row>
    <row r="19">
      <c r="A19" t="s">
        <v>39</v>
      </c>
      <c r="B19" s="4" t="str">
        <f>=B7*'가정'!B14</f>
      </c>
      <c r="C19" s="4" t="str">
        <f>=C7*'가정'!B14</f>
      </c>
      <c r="D19" s="4" t="str">
        <f>=D7*'가정'!B14</f>
      </c>
      <c r="E19" s="4" t="str">
        <f>=E7*'가정'!B14</f>
      </c>
      <c r="F19" s="4" t="str">
        <f>=F7*'가정'!B14</f>
      </c>
      <c r="G19" s="4" t="str">
        <f>=G7*'가정'!B14</f>
      </c>
    </row>
    <row r="20">
      <c r="A20" t="s">
        <v>40</v>
      </c>
      <c r="B20" s="4">
        <v>0</v>
      </c>
      <c r="C20" s="4" t="str">
        <f>=(C7-B7)*'가정'!B15</f>
      </c>
      <c r="D20" s="4" t="str">
        <f>=(D7-C7)*'가정'!B15</f>
      </c>
      <c r="E20" s="4" t="str">
        <f>=(E7-D7)*'가정'!B15</f>
      </c>
      <c r="F20" s="4" t="str">
        <f>=(F7-E7)*'가정'!B15</f>
      </c>
      <c r="G20" s="4" t="str">
        <f>=(G7-F7)*'가정'!B15</f>
      </c>
    </row>
    <row r="21">
      <c r="A21" s="6" t="s">
        <v>55</v>
      </c>
      <c r="B21" s="7" t="str">
        <f>=B17+B18-B19-B20</f>
      </c>
      <c r="C21" s="7" t="str">
        <f>=C17+C18-C19-C20</f>
      </c>
      <c r="D21" s="7" t="str">
        <f>=D17+D18-D19-D20</f>
      </c>
      <c r="E21" s="7" t="str">
        <f>=E17+E18-E19-E20</f>
      </c>
      <c r="F21" s="7" t="str">
        <f>=F17+F18-F19-F20</f>
      </c>
      <c r="G21" s="7" t="str">
        <f>=G17+G18-G19-G20</f>
      </c>
    </row>
    <row r="22"/>
    <row r="23">
      <c r="A23" s="5" t="s">
        <v>42</v>
      </c>
    </row>
    <row r="24">
      <c r="A24" t="s">
        <v>43</v>
      </c>
      <c r="B24" s="3" t="str">
        <f>='가정'!B19</f>
      </c>
    </row>
    <row r="25">
      <c r="A25" t="s">
        <v>44</v>
      </c>
      <c r="C25" s="12" t="str">
        <f>=1/(1+$B$24)^1</f>
      </c>
      <c r="D25" s="12" t="str">
        <f>=1/(1+$B$24)^2</f>
      </c>
      <c r="E25" s="12" t="str">
        <f>=1/(1+$B$24)^3</f>
      </c>
      <c r="F25" s="12" t="str">
        <f>=1/(1+$B$24)^4</f>
      </c>
      <c r="G25" s="12" t="str">
        <f>=1/(1+$B$24)^5</f>
      </c>
    </row>
    <row r="26">
      <c r="A26" t="s">
        <v>45</v>
      </c>
      <c r="C26" s="4" t="str">
        <f>=C21*C25</f>
      </c>
      <c r="D26" s="4" t="str">
        <f>=D21*D25</f>
      </c>
      <c r="E26" s="4" t="str">
        <f>=E21*E25</f>
      </c>
      <c r="F26" s="4" t="str">
        <f>=F21*F25</f>
      </c>
      <c r="G26" s="4" t="str">
        <f>=G21*G25</f>
      </c>
    </row>
    <row r="27">
      <c r="A27"/>
      <c r="B27"/>
      <c r="C27"/>
      <c r="D27"/>
      <c r="E27"/>
      <c r="F27"/>
      <c r="G27"/>
    </row>
    <row r="28">
      <c r="A28" t="s">
        <v>16</v>
      </c>
      <c r="B28" s="3" t="str">
        <f>='가정'!B20</f>
      </c>
    </row>
    <row r="29">
      <c r="A29" t="s">
        <v>46</v>
      </c>
      <c r="B29" s="4" t="str">
        <f>=G21*(1+B28)/(B24-B28)</f>
      </c>
    </row>
    <row r="30">
      <c r="A30" t="s">
        <v>47</v>
      </c>
      <c r="B30" s="4" t="str">
        <f>=B29*G25</f>
      </c>
    </row>
    <row r="31">
      <c r="A31"/>
      <c r="B31"/>
      <c r="C31"/>
      <c r="D31"/>
      <c r="E31"/>
      <c r="F31"/>
      <c r="G31"/>
    </row>
    <row r="32">
      <c r="A32" t="s">
        <v>48</v>
      </c>
      <c r="B32" s="4" t="str">
        <f>=SUM(C26:G26)</f>
      </c>
    </row>
    <row r="33">
      <c r="A33" t="s">
        <v>47</v>
      </c>
      <c r="B33" s="4" t="str">
        <f>=B30</f>
      </c>
    </row>
    <row r="34">
      <c r="A34" s="8" t="s">
        <v>49</v>
      </c>
      <c r="B34" s="9" t="str">
        <f>=B32+B33</f>
      </c>
    </row>
    <row r="35"/>
    <row r="36">
      <c r="A36" s="5" t="s">
        <v>50</v>
      </c>
    </row>
    <row r="37">
      <c r="A37" t="s">
        <v>49</v>
      </c>
      <c r="B37" s="4" t="str">
        <f>=B34</f>
      </c>
    </row>
    <row r="38">
      <c r="A38" t="s">
        <v>51</v>
      </c>
      <c r="B38" s="4" t="str">
        <f>='가정'!B23</f>
      </c>
    </row>
    <row r="39">
      <c r="A39" t="s">
        <v>52</v>
      </c>
      <c r="B39" s="4" t="str">
        <f>=B37-B38</f>
      </c>
    </row>
    <row r="40">
      <c r="A40" t="s">
        <v>19</v>
      </c>
      <c r="B40" s="4" t="str">
        <f>='가정'!B24</f>
      </c>
    </row>
    <row r="41">
      <c r="A41" s="10" t="s">
        <v>53</v>
      </c>
      <c r="B41" s="11" t="str">
        <f>=B39/B40*10000</f>
      </c>
    </row>
  </sheetData>
</worksheet>
</file>

<file path=xl/worksheets/sheet4.xml><?xml version="1.0" encoding="utf-8"?>
<worksheet xmlns="http://schemas.openxmlformats.org/spreadsheetml/2006/main">
  <dimension ref="A1:G8"/>
  <sheetViews>
    <sheetView workbookViewId="0"/>
  </sheetViews>
  <sheetData>
    <row r="1">
      <c r="A1" s="1" t="s">
        <v>56</v>
      </c>
    </row>
    <row r="2">
      <c r="A2" t="s">
        <v>57</v>
      </c>
    </row>
    <row r="3">
      <c r="A3" s="2" t="s">
        <v>58</v>
      </c>
      <c r="B3" s="2"/>
      <c r="C3" s="13">
        <v>0</v>
      </c>
      <c r="D3" s="13">
        <v>0.01</v>
      </c>
      <c r="E3" s="13">
        <v>0.02</v>
      </c>
      <c r="F3" s="13">
        <v>0.03</v>
      </c>
      <c r="G3" s="13">
        <v>0.04</v>
      </c>
    </row>
    <row r="4">
      <c r="B4" s="14">
        <v>0.08</v>
      </c>
      <c r="C4" s="4" t="str">
        <f>=('DCF모델'!C21/(1+$B4)+'DCF모델'!D21/(1+$B4)^2+'DCF모델'!E21/(1+$B4)^3+'DCF모델'!F21/(1+$B4)^4+'DCF모델'!G21/(1+$B4)^5+'DCF모델'!G21*(1+C$3)/($B4-C$3)/(1+$B4)^5-'가정'!$B$23)/'가정'!$B$24*10000</f>
      </c>
      <c r="D4" s="4" t="str">
        <f>=('DCF모델'!C21/(1+$B4)+'DCF모델'!D21/(1+$B4)^2+'DCF모델'!E21/(1+$B4)^3+'DCF모델'!F21/(1+$B4)^4+'DCF모델'!G21/(1+$B4)^5+'DCF모델'!G21*(1+D$3)/($B4-D$3)/(1+$B4)^5-'가정'!$B$23)/'가정'!$B$24*10000</f>
      </c>
      <c r="E4" s="4" t="str">
        <f>=('DCF모델'!C21/(1+$B4)+'DCF모델'!D21/(1+$B4)^2+'DCF모델'!E21/(1+$B4)^3+'DCF모델'!F21/(1+$B4)^4+'DCF모델'!G21/(1+$B4)^5+'DCF모델'!G21*(1+E$3)/($B4-E$3)/(1+$B4)^5-'가정'!$B$23)/'가정'!$B$24*10000</f>
      </c>
      <c r="F4" s="4" t="str">
        <f>=('DCF모델'!C21/(1+$B4)+'DCF모델'!D21/(1+$B4)^2+'DCF모델'!E21/(1+$B4)^3+'DCF모델'!F21/(1+$B4)^4+'DCF모델'!G21/(1+$B4)^5+'DCF모델'!G21*(1+F$3)/($B4-F$3)/(1+$B4)^5-'가정'!$B$23)/'가정'!$B$24*10000</f>
      </c>
      <c r="G4" s="4" t="str">
        <f>=('DCF모델'!C21/(1+$B4)+'DCF모델'!D21/(1+$B4)^2+'DCF모델'!E21/(1+$B4)^3+'DCF모델'!F21/(1+$B4)^4+'DCF모델'!G21/(1+$B4)^5+'DCF모델'!G21*(1+G$3)/($B4-G$3)/(1+$B4)^5-'가정'!$B$23)/'가정'!$B$24*10000</f>
      </c>
    </row>
    <row r="5">
      <c r="B5" s="14">
        <v>0.09</v>
      </c>
      <c r="C5" s="4" t="str">
        <f>=('DCF모델'!C21/(1+$B5)+'DCF모델'!D21/(1+$B5)^2+'DCF모델'!E21/(1+$B5)^3+'DCF모델'!F21/(1+$B5)^4+'DCF모델'!G21/(1+$B5)^5+'DCF모델'!G21*(1+C$3)/($B5-C$3)/(1+$B5)^5-'가정'!$B$23)/'가정'!$B$24*10000</f>
      </c>
      <c r="D5" s="4" t="str">
        <f>=('DCF모델'!C21/(1+$B5)+'DCF모델'!D21/(1+$B5)^2+'DCF모델'!E21/(1+$B5)^3+'DCF모델'!F21/(1+$B5)^4+'DCF모델'!G21/(1+$B5)^5+'DCF모델'!G21*(1+D$3)/($B5-D$3)/(1+$B5)^5-'가정'!$B$23)/'가정'!$B$24*10000</f>
      </c>
      <c r="E5" s="4" t="str">
        <f>=('DCF모델'!C21/(1+$B5)+'DCF모델'!D21/(1+$B5)^2+'DCF모델'!E21/(1+$B5)^3+'DCF모델'!F21/(1+$B5)^4+'DCF모델'!G21/(1+$B5)^5+'DCF모델'!G21*(1+E$3)/($B5-E$3)/(1+$B5)^5-'가정'!$B$23)/'가정'!$B$24*10000</f>
      </c>
      <c r="F5" s="4" t="str">
        <f>=('DCF모델'!C21/(1+$B5)+'DCF모델'!D21/(1+$B5)^2+'DCF모델'!E21/(1+$B5)^3+'DCF모델'!F21/(1+$B5)^4+'DCF모델'!G21/(1+$B5)^5+'DCF모델'!G21*(1+F$3)/($B5-F$3)/(1+$B5)^5-'가정'!$B$23)/'가정'!$B$24*10000</f>
      </c>
      <c r="G5" s="4" t="str">
        <f>=('DCF모델'!C21/(1+$B5)+'DCF모델'!D21/(1+$B5)^2+'DCF모델'!E21/(1+$B5)^3+'DCF모델'!F21/(1+$B5)^4+'DCF모델'!G21/(1+$B5)^5+'DCF모델'!G21*(1+G$3)/($B5-G$3)/(1+$B5)^5-'가정'!$B$23)/'가정'!$B$24*10000</f>
      </c>
    </row>
    <row r="6">
      <c r="A6" t="s">
        <v>43</v>
      </c>
      <c r="B6" s="14">
        <v>0.1</v>
      </c>
      <c r="C6" s="15" t="str">
        <f>=('DCF모델'!C21/(1+$B6)+'DCF모델'!D21/(1+$B6)^2+'DCF모델'!E21/(1+$B6)^3+'DCF모델'!F21/(1+$B6)^4+'DCF모델'!G21/(1+$B6)^5+'DCF모델'!G21*(1+C$3)/($B6-C$3)/(1+$B6)^5-'가정'!$B$23)/'가정'!$B$24*10000</f>
      </c>
      <c r="D6" s="15" t="str">
        <f>=('DCF모델'!C21/(1+$B6)+'DCF모델'!D21/(1+$B6)^2+'DCF모델'!E21/(1+$B6)^3+'DCF모델'!F21/(1+$B6)^4+'DCF모델'!G21/(1+$B6)^5+'DCF모델'!G21*(1+D$3)/($B6-D$3)/(1+$B6)^5-'가정'!$B$23)/'가정'!$B$24*10000</f>
      </c>
      <c r="E6" s="16" t="str">
        <f>=('DCF모델'!C21/(1+$B6)+'DCF모델'!D21/(1+$B6)^2+'DCF모델'!E21/(1+$B6)^3+'DCF모델'!F21/(1+$B6)^4+'DCF모델'!G21/(1+$B6)^5+'DCF모델'!G21*(1+E$3)/($B6-E$3)/(1+$B6)^5-'가정'!$B$23)/'가정'!$B$24*10000</f>
      </c>
      <c r="F6" s="15" t="str">
        <f>=('DCF모델'!C21/(1+$B6)+'DCF모델'!D21/(1+$B6)^2+'DCF모델'!E21/(1+$B6)^3+'DCF모델'!F21/(1+$B6)^4+'DCF모델'!G21/(1+$B6)^5+'DCF모델'!G21*(1+F$3)/($B6-F$3)/(1+$B6)^5-'가정'!$B$23)/'가정'!$B$24*10000</f>
      </c>
      <c r="G6" s="15" t="str">
        <f>=('DCF모델'!C21/(1+$B6)+'DCF모델'!D21/(1+$B6)^2+'DCF모델'!E21/(1+$B6)^3+'DCF모델'!F21/(1+$B6)^4+'DCF모델'!G21/(1+$B6)^5+'DCF모델'!G21*(1+G$3)/($B6-G$3)/(1+$B6)^5-'가정'!$B$23)/'가정'!$B$24*10000</f>
      </c>
    </row>
    <row r="7">
      <c r="B7" s="14">
        <v>0.11</v>
      </c>
      <c r="C7" s="4" t="str">
        <f>=('DCF모델'!C21/(1+$B7)+'DCF모델'!D21/(1+$B7)^2+'DCF모델'!E21/(1+$B7)^3+'DCF모델'!F21/(1+$B7)^4+'DCF모델'!G21/(1+$B7)^5+'DCF모델'!G21*(1+C$3)/($B7-C$3)/(1+$B7)^5-'가정'!$B$23)/'가정'!$B$24*10000</f>
      </c>
      <c r="D7" s="4" t="str">
        <f>=('DCF모델'!C21/(1+$B7)+'DCF모델'!D21/(1+$B7)^2+'DCF모델'!E21/(1+$B7)^3+'DCF모델'!F21/(1+$B7)^4+'DCF모델'!G21/(1+$B7)^5+'DCF모델'!G21*(1+D$3)/($B7-D$3)/(1+$B7)^5-'가정'!$B$23)/'가정'!$B$24*10000</f>
      </c>
      <c r="E7" s="4" t="str">
        <f>=('DCF모델'!C21/(1+$B7)+'DCF모델'!D21/(1+$B7)^2+'DCF모델'!E21/(1+$B7)^3+'DCF모델'!F21/(1+$B7)^4+'DCF모델'!G21/(1+$B7)^5+'DCF모델'!G21*(1+E$3)/($B7-E$3)/(1+$B7)^5-'가정'!$B$23)/'가정'!$B$24*10000</f>
      </c>
      <c r="F7" s="4" t="str">
        <f>=('DCF모델'!C21/(1+$B7)+'DCF모델'!D21/(1+$B7)^2+'DCF모델'!E21/(1+$B7)^3+'DCF모델'!F21/(1+$B7)^4+'DCF모델'!G21/(1+$B7)^5+'DCF모델'!G21*(1+F$3)/($B7-F$3)/(1+$B7)^5-'가정'!$B$23)/'가정'!$B$24*10000</f>
      </c>
      <c r="G7" s="4" t="str">
        <f>=('DCF모델'!C21/(1+$B7)+'DCF모델'!D21/(1+$B7)^2+'DCF모델'!E21/(1+$B7)^3+'DCF모델'!F21/(1+$B7)^4+'DCF모델'!G21/(1+$B7)^5+'DCF모델'!G21*(1+G$3)/($B7-G$3)/(1+$B7)^5-'가정'!$B$23)/'가정'!$B$24*10000</f>
      </c>
    </row>
    <row r="8">
      <c r="B8" s="14">
        <v>0.12</v>
      </c>
      <c r="C8" s="4" t="str">
        <f>=('DCF모델'!C21/(1+$B8)+'DCF모델'!D21/(1+$B8)^2+'DCF모델'!E21/(1+$B8)^3+'DCF모델'!F21/(1+$B8)^4+'DCF모델'!G21/(1+$B8)^5+'DCF모델'!G21*(1+C$3)/($B8-C$3)/(1+$B8)^5-'가정'!$B$23)/'가정'!$B$24*10000</f>
      </c>
      <c r="D8" s="4" t="str">
        <f>=('DCF모델'!C21/(1+$B8)+'DCF모델'!D21/(1+$B8)^2+'DCF모델'!E21/(1+$B8)^3+'DCF모델'!F21/(1+$B8)^4+'DCF모델'!G21/(1+$B8)^5+'DCF모델'!G21*(1+D$3)/($B8-D$3)/(1+$B8)^5-'가정'!$B$23)/'가정'!$B$24*10000</f>
      </c>
      <c r="E8" s="4" t="str">
        <f>=('DCF모델'!C21/(1+$B8)+'DCF모델'!D21/(1+$B8)^2+'DCF모델'!E21/(1+$B8)^3+'DCF모델'!F21/(1+$B8)^4+'DCF모델'!G21/(1+$B8)^5+'DCF모델'!G21*(1+E$3)/($B8-E$3)/(1+$B8)^5-'가정'!$B$23)/'가정'!$B$24*10000</f>
      </c>
      <c r="F8" s="4" t="str">
        <f>=('DCF모델'!C21/(1+$B8)+'DCF모델'!D21/(1+$B8)^2+'DCF모델'!E21/(1+$B8)^3+'DCF모델'!F21/(1+$B8)^4+'DCF모델'!G21/(1+$B8)^5+'DCF모델'!G21*(1+F$3)/($B8-F$3)/(1+$B8)^5-'가정'!$B$23)/'가정'!$B$24*10000</f>
      </c>
      <c r="G8" s="4" t="str">
        <f>=('DCF모델'!C21/(1+$B8)+'DCF모델'!D21/(1+$B8)^2+'DCF모델'!E21/(1+$B8)^3+'DCF모델'!F21/(1+$B8)^4+'DCF모델'!G21/(1+$B8)^5+'DCF모델'!G21*(1+G$3)/($B8-G$3)/(1+$B8)^5-'가정'!$B$23)/'가정'!$B$24*10000</f>
      </c>
    </row>
  </sheetData>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2026-02-17T10:54:35Z</dcterms:created>
  <dcterms:modified xmlns:dcterms="http://purl.org/dc/terms/" xmlns:xsi="http://www.w3.org/2001/XMLSchema-instance" xsi:type="dcterms:W3CDTF">2026-02-17T10:54:35Z</dcterms:modified>
</cp:coreProperties>
</file>